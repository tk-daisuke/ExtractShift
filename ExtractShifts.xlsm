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cument\desktop\excel\"/>
    </mc:Choice>
  </mc:AlternateContent>
  <xr:revisionPtr revIDLastSave="0" documentId="13_ncr:1_{61F245A2-6DA4-4734-876B-7E457FB01149}" xr6:coauthVersionLast="47" xr6:coauthVersionMax="47" xr10:uidLastSave="{00000000-0000-0000-0000-000000000000}"/>
  <bookViews>
    <workbookView xWindow="-120" yWindow="-120" windowWidth="38640" windowHeight="21240" xr2:uid="{A5543396-E1C3-4D18-9C52-50508E2E022D}"/>
  </bookViews>
  <sheets>
    <sheet name="Sheet1" sheetId="5" r:id="rId1"/>
    <sheet name="設定" sheetId="2" r:id="rId2"/>
    <sheet name="シフト表" sheetId="1" r:id="rId3"/>
    <sheet name="シフト表toデータ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5" l="1"/>
  <c r="C1" i="5"/>
  <c r="A1" i="5"/>
  <c r="A4" i="5"/>
  <c r="D4" i="5"/>
  <c r="G4" i="5" l="1"/>
  <c r="G5" i="5" l="1" a="1"/>
  <c r="G5" i="5" s="1"/>
  <c r="A5" i="5" a="1"/>
  <c r="A5" i="5" s="1"/>
  <c r="D5" i="5" a="1"/>
  <c r="D5" i="5" s="1"/>
  <c r="L5" i="5" l="1"/>
  <c r="L7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<sst xmlns="http://schemas.openxmlformats.org/spreadsheetml/2006/main" count="326" uniqueCount="88">
  <si>
    <t>チームA</t>
  </si>
  <si>
    <t>Alice</t>
  </si>
  <si>
    <t>名前</t>
    <rPh sb="0" eb="2">
      <t>ナマエ</t>
    </rPh>
    <phoneticPr fontId="1"/>
  </si>
  <si>
    <t>Bob</t>
  </si>
  <si>
    <t>公</t>
  </si>
  <si>
    <t>有給</t>
    <rPh sb="0" eb="2">
      <t>ユウ</t>
    </rPh>
    <phoneticPr fontId="1"/>
  </si>
  <si>
    <t>Carol</t>
  </si>
  <si>
    <t>David</t>
  </si>
  <si>
    <t>Alicea</t>
    <phoneticPr fontId="1"/>
  </si>
  <si>
    <t>Boba</t>
    <phoneticPr fontId="1"/>
  </si>
  <si>
    <t>Carola</t>
    <phoneticPr fontId="1"/>
  </si>
  <si>
    <t>Davida</t>
    <phoneticPr fontId="1"/>
  </si>
  <si>
    <t>Alicea</t>
  </si>
  <si>
    <t>Boba</t>
  </si>
  <si>
    <t>名前</t>
  </si>
  <si>
    <t>勤怠</t>
  </si>
  <si>
    <t>チームB</t>
  </si>
  <si>
    <t>公</t>
    <rPh sb="0" eb="1">
      <t>コウ</t>
    </rPh>
    <phoneticPr fontId="1"/>
  </si>
  <si>
    <r>
      <rPr>
        <sz val="9.6"/>
        <color rgb="FFD1D5DB"/>
        <rFont val="ＭＳ ゴシック"/>
        <family val="3"/>
        <charset val="128"/>
      </rPr>
      <t>チーム</t>
    </r>
    <r>
      <rPr>
        <sz val="9.6"/>
        <color rgb="FFD1D5DB"/>
        <rFont val="Segoe UI"/>
        <family val="2"/>
      </rPr>
      <t>B</t>
    </r>
    <phoneticPr fontId="1"/>
  </si>
  <si>
    <t>Carola</t>
  </si>
  <si>
    <t>Davida</t>
  </si>
  <si>
    <t>13出</t>
  </si>
  <si>
    <t>8出</t>
  </si>
  <si>
    <t>18出</t>
  </si>
  <si>
    <t>23出</t>
  </si>
  <si>
    <t>28出</t>
  </si>
  <si>
    <t>33出</t>
  </si>
  <si>
    <t>38出</t>
  </si>
  <si>
    <t>21出</t>
  </si>
  <si>
    <t>3出</t>
  </si>
  <si>
    <t>3.66666666666666出</t>
  </si>
  <si>
    <t>-2.83333333333334出</t>
  </si>
  <si>
    <t>-9.33333333333334出</t>
  </si>
  <si>
    <t>-15.8333333333333出</t>
  </si>
  <si>
    <t>-22.3333333333333出</t>
  </si>
  <si>
    <t>-28.8333333333333出</t>
  </si>
  <si>
    <t>7出</t>
  </si>
  <si>
    <t>22出</t>
  </si>
  <si>
    <t>12出</t>
  </si>
  <si>
    <t>14出</t>
  </si>
  <si>
    <t>15出</t>
  </si>
  <si>
    <t>47出</t>
  </si>
  <si>
    <t>37出</t>
  </si>
  <si>
    <t>52出</t>
  </si>
  <si>
    <t>48.5出</t>
  </si>
  <si>
    <t>59.1出</t>
  </si>
  <si>
    <t>69.7出</t>
  </si>
  <si>
    <t>80.3出</t>
  </si>
  <si>
    <t>67出</t>
  </si>
  <si>
    <t>82出</t>
  </si>
  <si>
    <t>90.9出</t>
  </si>
  <si>
    <t>101.5出</t>
  </si>
  <si>
    <t>112.1出</t>
  </si>
  <si>
    <t>122.7出</t>
  </si>
  <si>
    <t>16出</t>
  </si>
  <si>
    <t>1出</t>
  </si>
  <si>
    <t>6出</t>
  </si>
  <si>
    <t>5出</t>
  </si>
  <si>
    <t>4出</t>
  </si>
  <si>
    <t>2出</t>
  </si>
  <si>
    <t>-14出</t>
  </si>
  <si>
    <t>-30出</t>
  </si>
  <si>
    <t>-46出</t>
  </si>
  <si>
    <t>20出</t>
  </si>
  <si>
    <t>3.33333333333333出</t>
  </si>
  <si>
    <t>-3.16666666666667出</t>
  </si>
  <si>
    <t>-9.66666666666667出</t>
  </si>
  <si>
    <t>-16.1666666666667出</t>
  </si>
  <si>
    <t>-22.6666666666667出</t>
  </si>
  <si>
    <t>-29.1666666666667出</t>
  </si>
  <si>
    <t>DATE</t>
  </si>
  <si>
    <t>日付</t>
  </si>
  <si>
    <t>34出</t>
  </si>
  <si>
    <t>57.5出</t>
  </si>
  <si>
    <t>69出</t>
  </si>
  <si>
    <t>80.5出</t>
  </si>
  <si>
    <t>92出</t>
  </si>
  <si>
    <t>60出</t>
  </si>
  <si>
    <t>73出</t>
  </si>
  <si>
    <t>103.5出</t>
  </si>
  <si>
    <t>115出</t>
  </si>
  <si>
    <t>126.5出</t>
  </si>
  <si>
    <t>138出</t>
  </si>
  <si>
    <t>シフトデータ</t>
    <phoneticPr fontId="1"/>
  </si>
  <si>
    <t>現在のシフトデータ</t>
    <rPh sb="0" eb="2">
      <t>ゲンザイ</t>
    </rPh>
    <phoneticPr fontId="1"/>
  </si>
  <si>
    <t>今月</t>
    <rPh sb="0" eb="2">
      <t>コンゲツ</t>
    </rPh>
    <phoneticPr fontId="1"/>
  </si>
  <si>
    <t>4月</t>
    <phoneticPr fontId="1"/>
  </si>
  <si>
    <t>出勤リスト</t>
    <rPh sb="0" eb="2">
      <t>シュッキン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</si>
</sst>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\(aaa\)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.6"/>
      <color rgb="FFD1D5DB"/>
      <name val="Segoe UI"/>
      <family val="2"/>
    </font>
    <font>
      <sz val="9.6"/>
      <color rgb="FFD1D5DB"/>
      <name val="ＭＳ Ｐゴシック"/>
      <family val="2"/>
      <charset val="128"/>
    </font>
    <font>
      <sz val="11"/>
      <color rgb="FF000000"/>
      <name val="游ゴシック"/>
      <family val="3"/>
      <charset val="128"/>
    </font>
    <font>
      <sz val="9.6"/>
      <color rgb="FFD1D5DB"/>
      <name val="ＭＳ Ｐゴシック"/>
      <family val="3"/>
      <charset val="128"/>
    </font>
    <font>
      <sz val="9.6"/>
      <color rgb="FFD1D5DB"/>
      <name val="Segoe UI"/>
      <family val="3"/>
      <charset val="128"/>
    </font>
    <font>
      <sz val="9.6"/>
      <color rgb="FFD1D5DB"/>
      <name val="ＭＳ 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.6"/>
      <color rgb="FFD1D5DB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444654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11">
    <border>
      <left/>
      <right/>
      <top/>
      <bottom/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2" borderId="1" xfId="0" applyFont="1" applyFill="1" applyBorder="1" applyAlignment="1">
      <alignment vertical="center" wrapText="1"/>
    </xf>
    <xf numFmtId="56" fontId="2" fillId="2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6" fillId="2" borderId="1" xfId="0" applyFont="1" applyFill="1" applyBorder="1" applyAlignment="1">
      <alignment vertical="center" wrapText="1"/>
    </xf>
    <xf numFmtId="14" fontId="9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3" borderId="0" xfId="1" applyFont="1">
      <alignment vertical="center"/>
    </xf>
    <xf numFmtId="0" fontId="10" fillId="4" borderId="0" xfId="2" applyFont="1">
      <alignment vertical="center"/>
    </xf>
    <xf numFmtId="176" fontId="11" fillId="0" borderId="6" xfId="0" applyNumberFormat="1" applyFont="1" applyBorder="1">
      <alignment vertical="center"/>
    </xf>
    <xf numFmtId="176" fontId="11" fillId="0" borderId="4" xfId="0" applyNumberFormat="1" applyFont="1" applyBorder="1">
      <alignment vertical="center"/>
    </xf>
    <xf numFmtId="14" fontId="9" fillId="0" borderId="7" xfId="0" applyNumberFormat="1" applyFont="1" applyBorder="1">
      <alignment vertical="center"/>
    </xf>
    <xf numFmtId="0" fontId="9" fillId="0" borderId="7" xfId="0" applyFont="1" applyBorder="1">
      <alignment vertical="center"/>
    </xf>
    <xf numFmtId="0" fontId="9" fillId="0" borderId="5" xfId="0" applyFont="1" applyBorder="1">
      <alignment vertical="center"/>
    </xf>
    <xf numFmtId="14" fontId="9" fillId="0" borderId="3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14" fontId="9" fillId="0" borderId="8" xfId="0" applyNumberFormat="1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56" fontId="12" fillId="2" borderId="1" xfId="0" applyNumberFormat="1" applyFont="1" applyFill="1" applyBorder="1" applyAlignment="1">
      <alignment vertical="center" wrapText="1"/>
    </xf>
    <xf numFmtId="0" fontId="12" fillId="2" borderId="1" xfId="0" applyFont="1" applyFill="1" applyBorder="1" applyAlignment="1">
      <alignment vertical="center" wrapText="1"/>
    </xf>
    <xf numFmtId="0" fontId="14" fillId="4" borderId="0" xfId="2" applyFont="1">
      <alignment vertical="center"/>
    </xf>
    <xf numFmtId="0" fontId="13" fillId="3" borderId="0" xfId="1" applyFont="1">
      <alignment vertical="center"/>
    </xf>
  </cellXfs>
  <cellStyles count="3">
    <cellStyle name="アクセント 1" xfId="1" builtinId="29"/>
    <cellStyle name="アクセント 2" xfId="2" builtinId="3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485775</xdr:colOff>
          <xdr:row>8</xdr:row>
          <xdr:rowOff>47625</xdr:rowOff>
        </xdr:from>
        <xdr:to>
          <xdr:col>13</xdr:col>
          <xdr:colOff>142875</xdr:colOff>
          <xdr:row>11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A314-BD3C-4F44-A412-78D45057D230}">
  <sheetPr codeName="Sheet4">
    <tabColor theme="5"/>
  </sheetPr>
  <dimension ref="A1:P19"/>
  <sheetViews>
    <sheetView tabSelected="1" workbookViewId="0">
      <selection activeCell="A3" sqref="A3"/>
    </sheetView>
  </sheetViews>
  <sheetFormatPr defaultRowHeight="18.75" x14ac:dyDescent="0.4"/>
  <cols>
    <col min="1" max="1" width="13.125" style="12" bestFit="1" customWidth="1"/>
    <col min="2" max="2" width="10.5" style="12" bestFit="1" customWidth="1"/>
    <col min="3" max="3" width="11.5" style="12" bestFit="1" customWidth="1"/>
    <col min="4" max="4" width="13.25" style="12" bestFit="1" customWidth="1"/>
    <col min="5" max="5" width="9.5" style="12" customWidth="1"/>
    <col min="6" max="6" width="10.25" style="12" bestFit="1" customWidth="1"/>
    <col min="7" max="7" width="13.25" style="12" bestFit="1" customWidth="1"/>
    <col min="8" max="8" width="9.5" style="12" customWidth="1"/>
    <col min="9" max="9" width="10.25" style="12" bestFit="1" customWidth="1"/>
    <col min="10" max="10" width="9" style="12"/>
    <col min="11" max="11" width="10.375" style="12" bestFit="1" customWidth="1"/>
    <col min="12" max="12" width="10.25" style="12" bestFit="1" customWidth="1"/>
    <col min="13" max="16384" width="9" style="12"/>
  </cols>
  <sheetData>
    <row r="1" spans="1:16" x14ac:dyDescent="0.4">
      <c r="A1" s="11">
        <f ca="1">TODAY()</f>
        <v>45027</v>
      </c>
      <c r="B1" s="11">
        <f ca="1">TODAY() -DAY(1)</f>
        <v>45026</v>
      </c>
      <c r="C1" s="11">
        <f ca="1">TODAY() +DAY(1)</f>
        <v>45028</v>
      </c>
    </row>
    <row r="2" spans="1:16" x14ac:dyDescent="0.4">
      <c r="A2" s="29" t="s">
        <v>87</v>
      </c>
      <c r="B2" s="13"/>
      <c r="C2" s="13"/>
      <c r="D2" s="13"/>
      <c r="E2" s="13"/>
      <c r="F2" s="13"/>
      <c r="G2" s="13"/>
      <c r="H2" s="13"/>
      <c r="I2" s="13"/>
      <c r="J2" s="28" t="s">
        <v>83</v>
      </c>
      <c r="K2" s="14"/>
      <c r="L2" s="14"/>
      <c r="M2" s="14"/>
      <c r="N2" s="14"/>
      <c r="O2" s="14"/>
      <c r="P2" s="14"/>
    </row>
    <row r="3" spans="1:16" x14ac:dyDescent="0.4">
      <c r="L3" s="11"/>
    </row>
    <row r="4" spans="1:16" ht="19.5" thickBot="1" x14ac:dyDescent="0.45">
      <c r="A4" s="15">
        <f ca="1">TODAY() -DAY(1)</f>
        <v>45026</v>
      </c>
      <c r="B4" s="16"/>
      <c r="D4" s="15">
        <f ca="1">TODAY()</f>
        <v>45027</v>
      </c>
      <c r="E4" s="16"/>
      <c r="G4" s="15">
        <f ca="1">TODAY() +DAY(1)</f>
        <v>45028</v>
      </c>
      <c r="H4" s="16"/>
      <c r="K4" s="11"/>
      <c r="L4" s="11"/>
    </row>
    <row r="5" spans="1:16" ht="19.5" thickBot="1" x14ac:dyDescent="0.45">
      <c r="A5" s="17" t="str" cm="1">
        <f t="array" aca="1" ref="A5:B8" ca="1">_xlfn._xlws.FILTER(シフト表toデータ!$C:$D,シフト表toデータ!$B:$B=Sheet1!B1,"なし")</f>
        <v>Carol</v>
      </c>
      <c r="B5" s="18" t="str">
        <f ca="1"/>
        <v>18出</v>
      </c>
      <c r="D5" s="17" t="str" cm="1">
        <f t="array" aca="1" ref="D5:E10" ca="1">_xlfn._xlws.FILTER(シフト表toデータ!$C:$D,シフト表toデータ!$B:$B=Sheet1!A1,"なし")</f>
        <v>Davida</v>
      </c>
      <c r="E5" s="18" t="str">
        <f ca="1"/>
        <v>3.33333333333333出</v>
      </c>
      <c r="G5" s="17" t="str" cm="1">
        <f t="array" aca="1" ref="G5:H10" ca="1">_xlfn._xlws.FILTER(シフト表toデータ!$C:$D,シフト表toデータ!$B:$B=Sheet1!C1,"なし")</f>
        <v>David</v>
      </c>
      <c r="H5" s="18" t="str">
        <f ca="1"/>
        <v>-2.83333333333334出</v>
      </c>
      <c r="K5" s="12" t="s">
        <v>85</v>
      </c>
      <c r="L5" s="19" t="str">
        <f ca="1">MONTH(A1)&amp;"月"</f>
        <v>4月</v>
      </c>
    </row>
    <row r="6" spans="1:16" ht="19.5" thickBot="1" x14ac:dyDescent="0.45">
      <c r="A6" s="20" t="str">
        <f ca="1"/>
        <v>Carola</v>
      </c>
      <c r="B6" s="21" t="str">
        <f ca="1"/>
        <v>18出</v>
      </c>
      <c r="D6" s="21" t="str">
        <f ca="1"/>
        <v>David</v>
      </c>
      <c r="E6" s="20" t="str">
        <f ca="1"/>
        <v>3.66666666666666出</v>
      </c>
      <c r="F6" s="11"/>
      <c r="G6" s="20" t="str">
        <f ca="1"/>
        <v>Davida</v>
      </c>
      <c r="H6" s="21" t="str">
        <f ca="1"/>
        <v>-3.16666666666667出</v>
      </c>
      <c r="I6" s="11"/>
    </row>
    <row r="7" spans="1:16" ht="19.5" thickBot="1" x14ac:dyDescent="0.45">
      <c r="A7" s="20" t="str">
        <f ca="1"/>
        <v>Alice</v>
      </c>
      <c r="B7" s="21" t="str">
        <f ca="1"/>
        <v>47出</v>
      </c>
      <c r="D7" s="21" t="str">
        <f ca="1"/>
        <v>Boba</v>
      </c>
      <c r="E7" s="20" t="str">
        <f ca="1"/>
        <v>6出</v>
      </c>
      <c r="F7" s="11"/>
      <c r="G7" s="20" t="str">
        <f ca="1"/>
        <v>Boba</v>
      </c>
      <c r="H7" s="22" t="str">
        <f ca="1"/>
        <v>5出</v>
      </c>
      <c r="I7" s="11"/>
      <c r="J7" s="12" t="s">
        <v>84</v>
      </c>
      <c r="K7" s="11"/>
      <c r="L7" s="23" t="str">
        <f ca="1">IF(設定!C1=L5,設定!C1&amp;"最新のシフトです。",設定!C1&amp;"のシフトです")</f>
        <v>4月最新のシフトです。</v>
      </c>
      <c r="M7" s="24"/>
      <c r="N7" s="25"/>
    </row>
    <row r="8" spans="1:16" x14ac:dyDescent="0.4">
      <c r="A8" s="20" t="str">
        <f ca="1"/>
        <v>Alicea</v>
      </c>
      <c r="B8" s="21" t="str">
        <f ca="1"/>
        <v>52出</v>
      </c>
      <c r="D8" s="21" t="str">
        <f ca="1"/>
        <v>Bob</v>
      </c>
      <c r="E8" s="20" t="str">
        <f ca="1"/>
        <v>8出</v>
      </c>
      <c r="F8" s="11"/>
      <c r="G8" s="20" t="str">
        <f ca="1"/>
        <v>Bob</v>
      </c>
      <c r="H8" s="22" t="str">
        <f ca="1"/>
        <v>8出</v>
      </c>
      <c r="I8" s="11"/>
      <c r="K8" s="11"/>
      <c r="L8" s="11"/>
    </row>
    <row r="9" spans="1:16" x14ac:dyDescent="0.4">
      <c r="A9" s="20"/>
      <c r="B9" s="21"/>
      <c r="D9" s="21" t="str">
        <f ca="1"/>
        <v>Carol</v>
      </c>
      <c r="E9" s="20" t="str">
        <f ca="1"/>
        <v>23出</v>
      </c>
      <c r="F9" s="11"/>
      <c r="G9" s="20" t="str">
        <f ca="1"/>
        <v>Alicea</v>
      </c>
      <c r="H9" s="21" t="str">
        <f ca="1"/>
        <v>48.5出</v>
      </c>
      <c r="I9" s="11"/>
      <c r="K9" s="11"/>
      <c r="L9" s="11"/>
    </row>
    <row r="10" spans="1:16" x14ac:dyDescent="0.4">
      <c r="A10" s="20"/>
      <c r="B10" s="21"/>
      <c r="D10" s="21" t="str">
        <f ca="1"/>
        <v>Carola</v>
      </c>
      <c r="E10" s="20" t="str">
        <f ca="1"/>
        <v>23出</v>
      </c>
      <c r="F10" s="11"/>
      <c r="G10" s="20" t="str">
        <f ca="1"/>
        <v>Alice</v>
      </c>
      <c r="H10" s="21" t="str">
        <f ca="1"/>
        <v>57.5出</v>
      </c>
      <c r="I10" s="11"/>
    </row>
    <row r="11" spans="1:16" x14ac:dyDescent="0.4">
      <c r="A11" s="20"/>
      <c r="B11" s="21"/>
      <c r="D11" s="21"/>
      <c r="E11" s="20"/>
      <c r="F11" s="11"/>
      <c r="G11" s="20"/>
      <c r="H11" s="21"/>
      <c r="I11" s="11"/>
    </row>
    <row r="12" spans="1:16" x14ac:dyDescent="0.4">
      <c r="A12" s="21"/>
      <c r="B12" s="21"/>
      <c r="D12" s="21"/>
      <c r="E12" s="21"/>
      <c r="G12" s="21"/>
      <c r="H12" s="21"/>
    </row>
    <row r="15" spans="1:16" x14ac:dyDescent="0.4">
      <c r="B15" s="11"/>
    </row>
    <row r="16" spans="1:16" x14ac:dyDescent="0.4">
      <c r="B16" s="11"/>
    </row>
    <row r="17" spans="2:2" x14ac:dyDescent="0.4">
      <c r="B17" s="11"/>
    </row>
    <row r="18" spans="2:2" x14ac:dyDescent="0.4">
      <c r="B18" s="11"/>
    </row>
    <row r="19" spans="2:2" x14ac:dyDescent="0.4">
      <c r="B19" s="1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Shifts">
                <anchor moveWithCells="1">
                  <from>
                    <xdr:col>10</xdr:col>
                    <xdr:colOff>485775</xdr:colOff>
                    <xdr:row>8</xdr:row>
                    <xdr:rowOff>47625</xdr:rowOff>
                  </from>
                  <to>
                    <xdr:col>13</xdr:col>
                    <xdr:colOff>142875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F6E5-5F26-4A4C-9C43-8B73E0C600DC}">
  <sheetPr codeName="Sheet2">
    <tabColor theme="5" tint="-0.249977111117893"/>
  </sheetPr>
  <dimension ref="A1:C9"/>
  <sheetViews>
    <sheetView workbookViewId="0">
      <selection activeCell="E12" sqref="E12"/>
    </sheetView>
  </sheetViews>
  <sheetFormatPr defaultRowHeight="18.75" x14ac:dyDescent="0.4"/>
  <cols>
    <col min="1" max="16384" width="9" style="12"/>
  </cols>
  <sheetData>
    <row r="1" spans="1:3" ht="19.5" thickBot="1" x14ac:dyDescent="0.45">
      <c r="A1" s="12" t="s">
        <v>2</v>
      </c>
      <c r="C1" s="26" t="s">
        <v>86</v>
      </c>
    </row>
    <row r="2" spans="1:3" ht="19.5" thickBot="1" x14ac:dyDescent="0.45">
      <c r="A2" s="27" t="s">
        <v>1</v>
      </c>
    </row>
    <row r="3" spans="1:3" ht="19.5" thickBot="1" x14ac:dyDescent="0.45">
      <c r="A3" s="27" t="s">
        <v>3</v>
      </c>
    </row>
    <row r="4" spans="1:3" ht="19.5" thickBot="1" x14ac:dyDescent="0.45">
      <c r="A4" s="27" t="s">
        <v>6</v>
      </c>
    </row>
    <row r="5" spans="1:3" ht="19.5" thickBot="1" x14ac:dyDescent="0.45">
      <c r="A5" s="27" t="s">
        <v>7</v>
      </c>
    </row>
    <row r="6" spans="1:3" ht="19.5" thickBot="1" x14ac:dyDescent="0.45">
      <c r="A6" s="27" t="s">
        <v>8</v>
      </c>
    </row>
    <row r="7" spans="1:3" ht="19.5" thickBot="1" x14ac:dyDescent="0.45">
      <c r="A7" s="27" t="s">
        <v>9</v>
      </c>
    </row>
    <row r="8" spans="1:3" ht="19.5" thickBot="1" x14ac:dyDescent="0.45">
      <c r="A8" s="27" t="s">
        <v>10</v>
      </c>
    </row>
    <row r="9" spans="1:3" ht="19.5" thickBot="1" x14ac:dyDescent="0.45">
      <c r="A9" s="27" t="s">
        <v>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3235B-154A-4C71-B678-78E3B67B2CDF}">
  <sheetPr codeName="Sheet1">
    <tabColor theme="0" tint="-0.499984740745262"/>
  </sheetPr>
  <dimension ref="A1:Y9"/>
  <sheetViews>
    <sheetView workbookViewId="0">
      <selection activeCell="U13" sqref="U13"/>
    </sheetView>
  </sheetViews>
  <sheetFormatPr defaultRowHeight="18.75" x14ac:dyDescent="0.4"/>
  <cols>
    <col min="3" max="12" width="9.125" bestFit="1" customWidth="1"/>
    <col min="13" max="13" width="12.375" bestFit="1" customWidth="1"/>
    <col min="14" max="14" width="9" customWidth="1"/>
    <col min="15" max="15" width="13.125" bestFit="1" customWidth="1"/>
    <col min="16" max="20" width="9.125" bestFit="1" customWidth="1"/>
    <col min="21" max="23" width="13.125" bestFit="1" customWidth="1"/>
    <col min="24" max="25" width="9.125" bestFit="1" customWidth="1"/>
  </cols>
  <sheetData>
    <row r="1" spans="1:25" ht="19.5" thickBot="1" x14ac:dyDescent="0.45">
      <c r="A1" s="1"/>
      <c r="B1" s="3"/>
      <c r="C1" s="2">
        <v>45017</v>
      </c>
      <c r="D1" s="2">
        <v>45018</v>
      </c>
      <c r="E1" s="2">
        <v>45019</v>
      </c>
      <c r="F1" s="2">
        <v>45020</v>
      </c>
      <c r="G1" s="2">
        <v>45021</v>
      </c>
      <c r="H1" s="2">
        <v>45022</v>
      </c>
      <c r="I1" s="2">
        <v>45023</v>
      </c>
      <c r="J1" s="2">
        <v>45024</v>
      </c>
      <c r="K1" s="2">
        <v>45025</v>
      </c>
      <c r="L1" s="2">
        <v>45026</v>
      </c>
      <c r="M1" s="2">
        <v>45027</v>
      </c>
      <c r="N1" s="2">
        <v>45028</v>
      </c>
      <c r="O1" s="2">
        <v>45029</v>
      </c>
      <c r="P1" s="2">
        <v>45030</v>
      </c>
      <c r="Q1" s="2">
        <v>45031</v>
      </c>
      <c r="R1" s="2">
        <v>45032</v>
      </c>
      <c r="S1" s="2">
        <v>45033</v>
      </c>
      <c r="T1" s="2">
        <v>45034</v>
      </c>
      <c r="U1" s="2">
        <v>45035</v>
      </c>
      <c r="V1" s="2">
        <v>45036</v>
      </c>
      <c r="W1" s="2">
        <v>45037</v>
      </c>
      <c r="X1" s="2">
        <v>45038</v>
      </c>
      <c r="Y1" s="2">
        <v>45039</v>
      </c>
    </row>
    <row r="2" spans="1:25" ht="19.5" thickBot="1" x14ac:dyDescent="0.45">
      <c r="A2" s="1" t="s">
        <v>0</v>
      </c>
      <c r="B2" s="1" t="s">
        <v>1</v>
      </c>
      <c r="C2" s="1">
        <v>8</v>
      </c>
      <c r="D2" s="1">
        <v>21</v>
      </c>
      <c r="E2" s="5" t="s">
        <v>5</v>
      </c>
      <c r="F2" s="1">
        <v>13</v>
      </c>
      <c r="G2" s="4">
        <v>21</v>
      </c>
      <c r="H2" s="1">
        <v>34</v>
      </c>
      <c r="I2" s="1">
        <v>47</v>
      </c>
      <c r="J2" s="5" t="s">
        <v>5</v>
      </c>
      <c r="K2" s="1">
        <v>34</v>
      </c>
      <c r="L2" s="1">
        <v>47</v>
      </c>
      <c r="M2" s="5" t="s">
        <v>5</v>
      </c>
      <c r="N2" s="1">
        <v>57.5</v>
      </c>
      <c r="O2" s="4">
        <v>69</v>
      </c>
      <c r="P2" s="1">
        <v>80.5</v>
      </c>
      <c r="Q2" s="1">
        <v>92</v>
      </c>
      <c r="R2" s="5" t="s">
        <v>5</v>
      </c>
      <c r="S2" s="1">
        <v>60</v>
      </c>
      <c r="T2" s="1">
        <v>73</v>
      </c>
      <c r="U2" s="5" t="s">
        <v>5</v>
      </c>
      <c r="V2" s="1">
        <v>103.5</v>
      </c>
      <c r="W2" s="4">
        <v>115</v>
      </c>
      <c r="X2" s="1">
        <v>126.5</v>
      </c>
      <c r="Y2" s="1">
        <v>138</v>
      </c>
    </row>
    <row r="3" spans="1:25" ht="19.5" thickBot="1" x14ac:dyDescent="0.45">
      <c r="A3" s="1" t="s">
        <v>0</v>
      </c>
      <c r="B3" s="1" t="s">
        <v>3</v>
      </c>
      <c r="C3" s="1">
        <v>13</v>
      </c>
      <c r="D3" s="6" t="s">
        <v>4</v>
      </c>
      <c r="E3" s="1">
        <v>8</v>
      </c>
      <c r="F3" s="1">
        <v>8</v>
      </c>
      <c r="G3" s="7" t="s">
        <v>4</v>
      </c>
      <c r="H3" s="1">
        <v>13</v>
      </c>
      <c r="I3" s="6" t="s">
        <v>4</v>
      </c>
      <c r="J3" s="1">
        <v>8</v>
      </c>
      <c r="K3" s="1">
        <v>13</v>
      </c>
      <c r="L3" s="6" t="s">
        <v>4</v>
      </c>
      <c r="M3" s="1">
        <v>8</v>
      </c>
      <c r="N3" s="1">
        <v>8</v>
      </c>
      <c r="O3" s="7" t="s">
        <v>4</v>
      </c>
      <c r="P3" s="1">
        <v>13</v>
      </c>
      <c r="Q3" s="6" t="s">
        <v>4</v>
      </c>
      <c r="R3" s="1">
        <v>8</v>
      </c>
      <c r="S3" s="1">
        <v>13</v>
      </c>
      <c r="T3" s="6" t="s">
        <v>4</v>
      </c>
      <c r="U3" s="1">
        <v>8</v>
      </c>
      <c r="V3" s="1">
        <v>8</v>
      </c>
      <c r="W3" s="7" t="s">
        <v>4</v>
      </c>
      <c r="X3" s="1">
        <v>13</v>
      </c>
      <c r="Y3" s="6" t="s">
        <v>4</v>
      </c>
    </row>
    <row r="4" spans="1:25" ht="19.5" thickBot="1" x14ac:dyDescent="0.45">
      <c r="A4" s="1" t="s">
        <v>16</v>
      </c>
      <c r="B4" s="1" t="s">
        <v>6</v>
      </c>
      <c r="C4" s="3" t="s">
        <v>17</v>
      </c>
      <c r="D4" s="1">
        <v>8</v>
      </c>
      <c r="E4" s="1">
        <v>13</v>
      </c>
      <c r="F4" s="6" t="s">
        <v>4</v>
      </c>
      <c r="G4" s="5" t="s">
        <v>5</v>
      </c>
      <c r="H4" s="3" t="s">
        <v>17</v>
      </c>
      <c r="I4" s="1">
        <v>18</v>
      </c>
      <c r="J4" s="1">
        <v>23</v>
      </c>
      <c r="K4" s="3" t="s">
        <v>17</v>
      </c>
      <c r="L4" s="1">
        <v>18</v>
      </c>
      <c r="M4" s="1">
        <v>23</v>
      </c>
      <c r="N4" s="6" t="s">
        <v>4</v>
      </c>
      <c r="O4" s="5" t="s">
        <v>5</v>
      </c>
      <c r="P4" s="3" t="s">
        <v>17</v>
      </c>
      <c r="Q4" s="1">
        <v>28</v>
      </c>
      <c r="R4" s="1">
        <v>33</v>
      </c>
      <c r="S4" s="3" t="s">
        <v>17</v>
      </c>
      <c r="T4" s="1">
        <v>28</v>
      </c>
      <c r="U4" s="1">
        <v>33</v>
      </c>
      <c r="V4" s="6" t="s">
        <v>4</v>
      </c>
      <c r="W4" s="5" t="s">
        <v>5</v>
      </c>
      <c r="X4" s="3" t="s">
        <v>17</v>
      </c>
      <c r="Y4" s="1">
        <v>38</v>
      </c>
    </row>
    <row r="5" spans="1:25" ht="19.5" thickBot="1" x14ac:dyDescent="0.45">
      <c r="A5" s="10" t="s">
        <v>18</v>
      </c>
      <c r="B5" s="1" t="s">
        <v>7</v>
      </c>
      <c r="C5" s="5" t="s">
        <v>5</v>
      </c>
      <c r="D5" s="5" t="s">
        <v>5</v>
      </c>
      <c r="E5" s="1">
        <v>21</v>
      </c>
      <c r="F5" s="1">
        <v>21</v>
      </c>
      <c r="G5" s="4">
        <v>8</v>
      </c>
      <c r="H5" s="5" t="s">
        <v>5</v>
      </c>
      <c r="I5" s="5" t="s">
        <v>5</v>
      </c>
      <c r="J5" s="1">
        <v>3</v>
      </c>
      <c r="K5" s="5" t="s">
        <v>5</v>
      </c>
      <c r="L5" s="5" t="s">
        <v>5</v>
      </c>
      <c r="M5" s="1">
        <v>3.6666666666666599</v>
      </c>
      <c r="N5" s="1">
        <v>-2.8333333333333401</v>
      </c>
      <c r="O5" s="4">
        <v>-9.3333333333333393</v>
      </c>
      <c r="P5" s="5" t="s">
        <v>5</v>
      </c>
      <c r="Q5" s="5" t="s">
        <v>5</v>
      </c>
      <c r="R5" s="1">
        <v>3</v>
      </c>
      <c r="S5" s="5" t="s">
        <v>5</v>
      </c>
      <c r="T5" s="5" t="s">
        <v>5</v>
      </c>
      <c r="U5" s="1">
        <v>-15.8333333333333</v>
      </c>
      <c r="V5" s="1">
        <v>-22.3333333333333</v>
      </c>
      <c r="W5" s="4">
        <v>-28.8333333333333</v>
      </c>
      <c r="X5" s="5" t="s">
        <v>5</v>
      </c>
      <c r="Y5" s="5" t="s">
        <v>5</v>
      </c>
    </row>
    <row r="6" spans="1:25" ht="19.5" thickBot="1" x14ac:dyDescent="0.45">
      <c r="A6" s="1" t="s">
        <v>0</v>
      </c>
      <c r="B6" s="1" t="s">
        <v>8</v>
      </c>
      <c r="C6" s="1">
        <v>7</v>
      </c>
      <c r="D6" s="1">
        <v>22</v>
      </c>
      <c r="E6" s="5" t="s">
        <v>5</v>
      </c>
      <c r="F6" s="1">
        <v>12</v>
      </c>
      <c r="G6" s="4">
        <v>14</v>
      </c>
      <c r="H6" s="1">
        <v>15</v>
      </c>
      <c r="I6" s="1">
        <v>47</v>
      </c>
      <c r="J6" s="5" t="s">
        <v>5</v>
      </c>
      <c r="K6" s="1">
        <v>37</v>
      </c>
      <c r="L6" s="1">
        <v>52</v>
      </c>
      <c r="M6" s="5" t="s">
        <v>5</v>
      </c>
      <c r="N6" s="1">
        <v>48.5</v>
      </c>
      <c r="O6" s="4">
        <v>59.1</v>
      </c>
      <c r="P6" s="1">
        <v>69.7</v>
      </c>
      <c r="Q6" s="1">
        <v>80.3</v>
      </c>
      <c r="R6" s="5" t="s">
        <v>5</v>
      </c>
      <c r="S6" s="1">
        <v>67</v>
      </c>
      <c r="T6" s="1">
        <v>82</v>
      </c>
      <c r="U6" s="5" t="s">
        <v>5</v>
      </c>
      <c r="V6" s="1">
        <v>90.9</v>
      </c>
      <c r="W6" s="4">
        <v>101.5</v>
      </c>
      <c r="X6" s="1">
        <v>112.1</v>
      </c>
      <c r="Y6" s="1">
        <v>122.7</v>
      </c>
    </row>
    <row r="7" spans="1:25" ht="19.5" thickBot="1" x14ac:dyDescent="0.45">
      <c r="A7" s="1" t="s">
        <v>0</v>
      </c>
      <c r="B7" s="1" t="s">
        <v>9</v>
      </c>
      <c r="C7" s="1">
        <v>12</v>
      </c>
      <c r="D7" s="6" t="s">
        <v>4</v>
      </c>
      <c r="E7" s="1">
        <v>8</v>
      </c>
      <c r="F7" s="1">
        <v>7</v>
      </c>
      <c r="G7" s="7" t="s">
        <v>4</v>
      </c>
      <c r="H7" s="1">
        <v>16</v>
      </c>
      <c r="I7" s="6" t="s">
        <v>4</v>
      </c>
      <c r="J7" s="1">
        <v>1</v>
      </c>
      <c r="K7" s="1">
        <v>12</v>
      </c>
      <c r="L7" s="6" t="s">
        <v>4</v>
      </c>
      <c r="M7" s="1">
        <v>6</v>
      </c>
      <c r="N7" s="1">
        <v>5</v>
      </c>
      <c r="O7" s="7" t="s">
        <v>4</v>
      </c>
      <c r="P7" s="1">
        <v>16</v>
      </c>
      <c r="Q7" s="6" t="s">
        <v>4</v>
      </c>
      <c r="R7" s="1">
        <v>1</v>
      </c>
      <c r="S7" s="1">
        <v>12</v>
      </c>
      <c r="T7" s="6" t="s">
        <v>4</v>
      </c>
      <c r="U7" s="1">
        <v>4</v>
      </c>
      <c r="V7" s="1">
        <v>3</v>
      </c>
      <c r="W7" s="7" t="s">
        <v>4</v>
      </c>
      <c r="X7" s="1">
        <v>16</v>
      </c>
      <c r="Y7" s="6" t="s">
        <v>4</v>
      </c>
    </row>
    <row r="8" spans="1:25" ht="19.5" thickBot="1" x14ac:dyDescent="0.45">
      <c r="A8" s="1" t="s">
        <v>16</v>
      </c>
      <c r="B8" s="1" t="s">
        <v>10</v>
      </c>
      <c r="C8" s="3" t="s">
        <v>17</v>
      </c>
      <c r="D8" s="1">
        <v>8</v>
      </c>
      <c r="E8" s="1">
        <v>13</v>
      </c>
      <c r="F8" s="6" t="s">
        <v>4</v>
      </c>
      <c r="G8" s="5" t="s">
        <v>5</v>
      </c>
      <c r="H8" s="3" t="s">
        <v>17</v>
      </c>
      <c r="I8" s="1">
        <v>18</v>
      </c>
      <c r="J8" s="1">
        <v>2</v>
      </c>
      <c r="K8" s="3" t="s">
        <v>17</v>
      </c>
      <c r="L8" s="1">
        <v>18</v>
      </c>
      <c r="M8" s="1">
        <v>23</v>
      </c>
      <c r="N8" s="6" t="s">
        <v>4</v>
      </c>
      <c r="O8" s="5" t="s">
        <v>5</v>
      </c>
      <c r="P8" s="3" t="s">
        <v>17</v>
      </c>
      <c r="Q8" s="1">
        <v>-14</v>
      </c>
      <c r="R8" s="1">
        <v>-30</v>
      </c>
      <c r="S8" s="3" t="s">
        <v>17</v>
      </c>
      <c r="T8" s="1">
        <v>28</v>
      </c>
      <c r="U8" s="1">
        <v>33</v>
      </c>
      <c r="V8" s="6" t="s">
        <v>4</v>
      </c>
      <c r="W8" s="5" t="s">
        <v>5</v>
      </c>
      <c r="X8" s="3" t="s">
        <v>17</v>
      </c>
      <c r="Y8" s="1">
        <v>-46</v>
      </c>
    </row>
    <row r="9" spans="1:25" ht="19.5" thickBot="1" x14ac:dyDescent="0.45">
      <c r="A9" s="10" t="s">
        <v>18</v>
      </c>
      <c r="B9" s="1" t="s">
        <v>11</v>
      </c>
      <c r="C9" s="5" t="s">
        <v>5</v>
      </c>
      <c r="D9" s="5" t="s">
        <v>5</v>
      </c>
      <c r="E9" s="1">
        <v>21</v>
      </c>
      <c r="F9" s="1">
        <v>20</v>
      </c>
      <c r="G9" s="4">
        <v>8</v>
      </c>
      <c r="H9" s="5" t="s">
        <v>5</v>
      </c>
      <c r="I9" s="5" t="s">
        <v>5</v>
      </c>
      <c r="J9" s="1">
        <v>3</v>
      </c>
      <c r="K9" s="5" t="s">
        <v>5</v>
      </c>
      <c r="L9" s="5" t="s">
        <v>5</v>
      </c>
      <c r="M9" s="1">
        <v>3.3333333333333299</v>
      </c>
      <c r="N9" s="1">
        <v>-3.1666666666666701</v>
      </c>
      <c r="O9" s="4">
        <v>-9.6666666666666696</v>
      </c>
      <c r="P9" s="5" t="s">
        <v>5</v>
      </c>
      <c r="Q9" s="5" t="s">
        <v>5</v>
      </c>
      <c r="R9" s="1">
        <v>3</v>
      </c>
      <c r="S9" s="5" t="s">
        <v>5</v>
      </c>
      <c r="T9" s="5" t="s">
        <v>5</v>
      </c>
      <c r="U9" s="1">
        <v>-16.1666666666667</v>
      </c>
      <c r="V9" s="1">
        <v>-22.6666666666667</v>
      </c>
      <c r="W9" s="4">
        <v>-29.1666666666667</v>
      </c>
      <c r="X9" s="5" t="s">
        <v>5</v>
      </c>
      <c r="Y9" s="5" t="s">
        <v>5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53110-02BD-474A-8C99-03D4439945B1}">
  <sheetPr codeName="Sheet5">
    <tabColor theme="0" tint="-0.499984740745262"/>
  </sheetPr>
  <dimension ref="A1:D109"/>
  <sheetViews>
    <sheetView workbookViewId="0">
      <selection activeCell="F68" sqref="F68"/>
    </sheetView>
  </sheetViews>
  <sheetFormatPr defaultRowHeight="18.75" x14ac:dyDescent="0.4"/>
  <cols>
    <col min="1" max="1" width="15.375" customWidth="1"/>
  </cols>
  <sheetData>
    <row r="1" spans="1:4" x14ac:dyDescent="0.4">
      <c r="A1" t="s">
        <v>71</v>
      </c>
      <c r="B1" t="s">
        <v>70</v>
      </c>
      <c r="C1" t="s">
        <v>14</v>
      </c>
      <c r="D1" t="s">
        <v>15</v>
      </c>
    </row>
    <row r="2" spans="1:4" x14ac:dyDescent="0.4">
      <c r="A2" s="9">
        <v>45017.291666666664</v>
      </c>
      <c r="B2" s="8">
        <v>45017</v>
      </c>
      <c r="C2" t="s">
        <v>12</v>
      </c>
      <c r="D2" t="s">
        <v>36</v>
      </c>
    </row>
    <row r="3" spans="1:4" x14ac:dyDescent="0.4">
      <c r="A3" s="9">
        <v>45017.333333333336</v>
      </c>
      <c r="B3" s="8">
        <v>45017</v>
      </c>
      <c r="C3" t="s">
        <v>1</v>
      </c>
      <c r="D3" t="s">
        <v>22</v>
      </c>
    </row>
    <row r="4" spans="1:4" x14ac:dyDescent="0.4">
      <c r="A4" s="9">
        <v>45017.5</v>
      </c>
      <c r="B4" s="8">
        <v>45017</v>
      </c>
      <c r="C4" t="s">
        <v>13</v>
      </c>
      <c r="D4" t="s">
        <v>38</v>
      </c>
    </row>
    <row r="5" spans="1:4" x14ac:dyDescent="0.4">
      <c r="A5" s="9">
        <v>45017.541666666664</v>
      </c>
      <c r="B5" s="8">
        <v>45017</v>
      </c>
      <c r="C5" t="s">
        <v>3</v>
      </c>
      <c r="D5" t="s">
        <v>21</v>
      </c>
    </row>
    <row r="6" spans="1:4" x14ac:dyDescent="0.4">
      <c r="A6" s="9">
        <v>45018.333333333336</v>
      </c>
      <c r="B6" s="8">
        <v>45018</v>
      </c>
      <c r="C6" t="s">
        <v>6</v>
      </c>
      <c r="D6" t="s">
        <v>22</v>
      </c>
    </row>
    <row r="7" spans="1:4" x14ac:dyDescent="0.4">
      <c r="A7" s="9">
        <v>45018.333333333336</v>
      </c>
      <c r="B7" s="8">
        <v>45018</v>
      </c>
      <c r="C7" t="s">
        <v>19</v>
      </c>
      <c r="D7" t="s">
        <v>22</v>
      </c>
    </row>
    <row r="8" spans="1:4" x14ac:dyDescent="0.4">
      <c r="A8" s="9">
        <v>45018.875</v>
      </c>
      <c r="B8" s="8">
        <v>45018</v>
      </c>
      <c r="C8" t="s">
        <v>1</v>
      </c>
      <c r="D8" t="s">
        <v>28</v>
      </c>
    </row>
    <row r="9" spans="1:4" x14ac:dyDescent="0.4">
      <c r="A9" s="9">
        <v>45018.916666666664</v>
      </c>
      <c r="B9" s="8">
        <v>45018</v>
      </c>
      <c r="C9" t="s">
        <v>12</v>
      </c>
      <c r="D9" t="s">
        <v>37</v>
      </c>
    </row>
    <row r="10" spans="1:4" x14ac:dyDescent="0.4">
      <c r="A10" s="9">
        <v>45019.333333333336</v>
      </c>
      <c r="B10" s="8">
        <v>45019</v>
      </c>
      <c r="C10" t="s">
        <v>3</v>
      </c>
      <c r="D10" t="s">
        <v>22</v>
      </c>
    </row>
    <row r="11" spans="1:4" x14ac:dyDescent="0.4">
      <c r="A11" s="9">
        <v>45019.333333333336</v>
      </c>
      <c r="B11" s="8">
        <v>45019</v>
      </c>
      <c r="C11" t="s">
        <v>13</v>
      </c>
      <c r="D11" t="s">
        <v>22</v>
      </c>
    </row>
    <row r="12" spans="1:4" x14ac:dyDescent="0.4">
      <c r="A12" s="9">
        <v>45019.541666666664</v>
      </c>
      <c r="B12" s="8">
        <v>45019</v>
      </c>
      <c r="C12" t="s">
        <v>6</v>
      </c>
      <c r="D12" t="s">
        <v>21</v>
      </c>
    </row>
    <row r="13" spans="1:4" x14ac:dyDescent="0.4">
      <c r="A13" s="9">
        <v>45019.541666666664</v>
      </c>
      <c r="B13" s="8">
        <v>45019</v>
      </c>
      <c r="C13" t="s">
        <v>19</v>
      </c>
      <c r="D13" t="s">
        <v>21</v>
      </c>
    </row>
    <row r="14" spans="1:4" x14ac:dyDescent="0.4">
      <c r="A14" s="9">
        <v>45019.875</v>
      </c>
      <c r="B14" s="8">
        <v>45019</v>
      </c>
      <c r="C14" t="s">
        <v>7</v>
      </c>
      <c r="D14" t="s">
        <v>28</v>
      </c>
    </row>
    <row r="15" spans="1:4" x14ac:dyDescent="0.4">
      <c r="A15" s="9">
        <v>45019.875</v>
      </c>
      <c r="B15" s="8">
        <v>45019</v>
      </c>
      <c r="C15" t="s">
        <v>20</v>
      </c>
      <c r="D15" t="s">
        <v>28</v>
      </c>
    </row>
    <row r="16" spans="1:4" x14ac:dyDescent="0.4">
      <c r="A16" s="9">
        <v>45020.291666666664</v>
      </c>
      <c r="B16" s="8">
        <v>45020</v>
      </c>
      <c r="C16" t="s">
        <v>13</v>
      </c>
      <c r="D16" t="s">
        <v>36</v>
      </c>
    </row>
    <row r="17" spans="1:4" x14ac:dyDescent="0.4">
      <c r="A17" s="9">
        <v>45020.333333333336</v>
      </c>
      <c r="B17" s="8">
        <v>45020</v>
      </c>
      <c r="C17" t="s">
        <v>3</v>
      </c>
      <c r="D17" t="s">
        <v>22</v>
      </c>
    </row>
    <row r="18" spans="1:4" x14ac:dyDescent="0.4">
      <c r="A18" s="9">
        <v>45020.5</v>
      </c>
      <c r="B18" s="8">
        <v>45020</v>
      </c>
      <c r="C18" t="s">
        <v>12</v>
      </c>
      <c r="D18" t="s">
        <v>38</v>
      </c>
    </row>
    <row r="19" spans="1:4" x14ac:dyDescent="0.4">
      <c r="A19" s="9">
        <v>45020.541666666664</v>
      </c>
      <c r="B19" s="8">
        <v>45020</v>
      </c>
      <c r="C19" t="s">
        <v>1</v>
      </c>
      <c r="D19" t="s">
        <v>21</v>
      </c>
    </row>
    <row r="20" spans="1:4" x14ac:dyDescent="0.4">
      <c r="A20" s="9">
        <v>45020.833333333336</v>
      </c>
      <c r="B20" s="8">
        <v>45020</v>
      </c>
      <c r="C20" t="s">
        <v>20</v>
      </c>
      <c r="D20" t="s">
        <v>63</v>
      </c>
    </row>
    <row r="21" spans="1:4" x14ac:dyDescent="0.4">
      <c r="A21" s="9">
        <v>45020.875</v>
      </c>
      <c r="B21" s="8">
        <v>45020</v>
      </c>
      <c r="C21" t="s">
        <v>7</v>
      </c>
      <c r="D21" t="s">
        <v>28</v>
      </c>
    </row>
    <row r="22" spans="1:4" x14ac:dyDescent="0.4">
      <c r="A22" s="9">
        <v>45021.333333333336</v>
      </c>
      <c r="B22" s="8">
        <v>45021</v>
      </c>
      <c r="C22" t="s">
        <v>7</v>
      </c>
      <c r="D22" t="s">
        <v>22</v>
      </c>
    </row>
    <row r="23" spans="1:4" x14ac:dyDescent="0.4">
      <c r="A23" s="9">
        <v>45021.333333333336</v>
      </c>
      <c r="B23" s="8">
        <v>45021</v>
      </c>
      <c r="C23" t="s">
        <v>20</v>
      </c>
      <c r="D23" t="s">
        <v>22</v>
      </c>
    </row>
    <row r="24" spans="1:4" x14ac:dyDescent="0.4">
      <c r="A24" s="9">
        <v>45021.583333333336</v>
      </c>
      <c r="B24" s="8">
        <v>45021</v>
      </c>
      <c r="C24" t="s">
        <v>12</v>
      </c>
      <c r="D24" t="s">
        <v>39</v>
      </c>
    </row>
    <row r="25" spans="1:4" x14ac:dyDescent="0.4">
      <c r="A25" s="9">
        <v>45021.875</v>
      </c>
      <c r="B25" s="8">
        <v>45021</v>
      </c>
      <c r="C25" t="s">
        <v>1</v>
      </c>
      <c r="D25" t="s">
        <v>28</v>
      </c>
    </row>
    <row r="26" spans="1:4" x14ac:dyDescent="0.4">
      <c r="A26" s="9">
        <v>45022.541666666664</v>
      </c>
      <c r="B26" s="8">
        <v>45022</v>
      </c>
      <c r="C26" t="s">
        <v>3</v>
      </c>
      <c r="D26" t="s">
        <v>21</v>
      </c>
    </row>
    <row r="27" spans="1:4" x14ac:dyDescent="0.4">
      <c r="A27" s="9">
        <v>45022.625</v>
      </c>
      <c r="B27" s="8">
        <v>45022</v>
      </c>
      <c r="C27" t="s">
        <v>12</v>
      </c>
      <c r="D27" t="s">
        <v>40</v>
      </c>
    </row>
    <row r="28" spans="1:4" x14ac:dyDescent="0.4">
      <c r="A28" s="9">
        <v>45022.666666666664</v>
      </c>
      <c r="B28" s="8">
        <v>45022</v>
      </c>
      <c r="C28" t="s">
        <v>13</v>
      </c>
      <c r="D28" t="s">
        <v>54</v>
      </c>
    </row>
    <row r="29" spans="1:4" x14ac:dyDescent="0.4">
      <c r="A29" s="9">
        <v>45023.416666666664</v>
      </c>
      <c r="B29" s="8">
        <v>45022</v>
      </c>
      <c r="C29" t="s">
        <v>1</v>
      </c>
      <c r="D29" t="s">
        <v>72</v>
      </c>
    </row>
    <row r="30" spans="1:4" x14ac:dyDescent="0.4">
      <c r="A30" s="9">
        <v>45023.75</v>
      </c>
      <c r="B30" s="8">
        <v>45023</v>
      </c>
      <c r="C30" t="s">
        <v>6</v>
      </c>
      <c r="D30" t="s">
        <v>23</v>
      </c>
    </row>
    <row r="31" spans="1:4" x14ac:dyDescent="0.4">
      <c r="A31" s="9">
        <v>45023.75</v>
      </c>
      <c r="B31" s="8">
        <v>45023</v>
      </c>
      <c r="C31" t="s">
        <v>19</v>
      </c>
      <c r="D31" t="s">
        <v>23</v>
      </c>
    </row>
    <row r="32" spans="1:4" x14ac:dyDescent="0.4">
      <c r="A32" s="9">
        <v>45024.041666666664</v>
      </c>
      <c r="B32" s="8">
        <v>45024</v>
      </c>
      <c r="C32" t="s">
        <v>13</v>
      </c>
      <c r="D32" t="s">
        <v>55</v>
      </c>
    </row>
    <row r="33" spans="1:4" x14ac:dyDescent="0.4">
      <c r="A33" s="9">
        <v>45024.083333333336</v>
      </c>
      <c r="B33" s="8">
        <v>45024</v>
      </c>
      <c r="C33" t="s">
        <v>19</v>
      </c>
      <c r="D33" t="s">
        <v>59</v>
      </c>
    </row>
    <row r="34" spans="1:4" x14ac:dyDescent="0.4">
      <c r="A34" s="9">
        <v>45024.125</v>
      </c>
      <c r="B34" s="8">
        <v>45024</v>
      </c>
      <c r="C34" t="s">
        <v>7</v>
      </c>
      <c r="D34" t="s">
        <v>29</v>
      </c>
    </row>
    <row r="35" spans="1:4" x14ac:dyDescent="0.4">
      <c r="A35" s="9">
        <v>45024.125</v>
      </c>
      <c r="B35" s="8">
        <v>45024</v>
      </c>
      <c r="C35" t="s">
        <v>20</v>
      </c>
      <c r="D35" t="s">
        <v>29</v>
      </c>
    </row>
    <row r="36" spans="1:4" x14ac:dyDescent="0.4">
      <c r="A36" s="9">
        <v>45024.333333333336</v>
      </c>
      <c r="B36" s="8">
        <v>45024</v>
      </c>
      <c r="C36" t="s">
        <v>3</v>
      </c>
      <c r="D36" t="s">
        <v>22</v>
      </c>
    </row>
    <row r="37" spans="1:4" x14ac:dyDescent="0.4">
      <c r="A37" s="9">
        <v>45024.958333333336</v>
      </c>
      <c r="B37" s="8">
        <v>45023</v>
      </c>
      <c r="C37" t="s">
        <v>1</v>
      </c>
      <c r="D37" t="s">
        <v>41</v>
      </c>
    </row>
    <row r="38" spans="1:4" x14ac:dyDescent="0.4">
      <c r="A38" s="9">
        <v>45024.958333333336</v>
      </c>
      <c r="B38" s="8">
        <v>45024</v>
      </c>
      <c r="C38" t="s">
        <v>6</v>
      </c>
      <c r="D38" t="s">
        <v>24</v>
      </c>
    </row>
    <row r="39" spans="1:4" x14ac:dyDescent="0.4">
      <c r="A39" s="9">
        <v>45024.958333333336</v>
      </c>
      <c r="B39" s="8">
        <v>45023</v>
      </c>
      <c r="C39" t="s">
        <v>12</v>
      </c>
      <c r="D39" t="s">
        <v>41</v>
      </c>
    </row>
    <row r="40" spans="1:4" x14ac:dyDescent="0.4">
      <c r="A40" s="9">
        <v>45025.5</v>
      </c>
      <c r="B40" s="8">
        <v>45025</v>
      </c>
      <c r="C40" t="s">
        <v>13</v>
      </c>
      <c r="D40" t="s">
        <v>38</v>
      </c>
    </row>
    <row r="41" spans="1:4" x14ac:dyDescent="0.4">
      <c r="A41" s="9">
        <v>45025.541666666664</v>
      </c>
      <c r="B41" s="8">
        <v>45025</v>
      </c>
      <c r="C41" t="s">
        <v>3</v>
      </c>
      <c r="D41" t="s">
        <v>21</v>
      </c>
    </row>
    <row r="42" spans="1:4" x14ac:dyDescent="0.4">
      <c r="A42" s="9">
        <v>45026.416666666664</v>
      </c>
      <c r="B42" s="8">
        <v>45025</v>
      </c>
      <c r="C42" t="s">
        <v>1</v>
      </c>
      <c r="D42" t="s">
        <v>72</v>
      </c>
    </row>
    <row r="43" spans="1:4" x14ac:dyDescent="0.4">
      <c r="A43" s="9">
        <v>45026.541666666664</v>
      </c>
      <c r="B43" s="8">
        <v>45025</v>
      </c>
      <c r="C43" t="s">
        <v>12</v>
      </c>
      <c r="D43" t="s">
        <v>42</v>
      </c>
    </row>
    <row r="44" spans="1:4" x14ac:dyDescent="0.4">
      <c r="A44" s="9">
        <v>45026.75</v>
      </c>
      <c r="B44" s="8">
        <v>45026</v>
      </c>
      <c r="C44" t="s">
        <v>6</v>
      </c>
      <c r="D44" t="s">
        <v>23</v>
      </c>
    </row>
    <row r="45" spans="1:4" x14ac:dyDescent="0.4">
      <c r="A45" s="9">
        <v>45026.75</v>
      </c>
      <c r="B45" s="8">
        <v>45026</v>
      </c>
      <c r="C45" t="s">
        <v>19</v>
      </c>
      <c r="D45" t="s">
        <v>23</v>
      </c>
    </row>
    <row r="46" spans="1:4" x14ac:dyDescent="0.4">
      <c r="A46" s="9">
        <v>45027.125</v>
      </c>
      <c r="B46" s="8">
        <v>45027</v>
      </c>
      <c r="C46" t="s">
        <v>20</v>
      </c>
      <c r="D46" t="s">
        <v>64</v>
      </c>
    </row>
    <row r="47" spans="1:4" x14ac:dyDescent="0.4">
      <c r="A47" s="9">
        <v>45027.166666666664</v>
      </c>
      <c r="B47" s="8">
        <v>45027</v>
      </c>
      <c r="C47" t="s">
        <v>7</v>
      </c>
      <c r="D47" t="s">
        <v>30</v>
      </c>
    </row>
    <row r="48" spans="1:4" x14ac:dyDescent="0.4">
      <c r="A48" s="9">
        <v>45027.25</v>
      </c>
      <c r="B48" s="8">
        <v>45027</v>
      </c>
      <c r="C48" t="s">
        <v>13</v>
      </c>
      <c r="D48" t="s">
        <v>56</v>
      </c>
    </row>
    <row r="49" spans="1:4" x14ac:dyDescent="0.4">
      <c r="A49" s="9">
        <v>45027.333333333336</v>
      </c>
      <c r="B49" s="8">
        <v>45027</v>
      </c>
      <c r="C49" t="s">
        <v>3</v>
      </c>
      <c r="D49" t="s">
        <v>22</v>
      </c>
    </row>
    <row r="50" spans="1:4" x14ac:dyDescent="0.4">
      <c r="A50" s="9">
        <v>45027.875</v>
      </c>
      <c r="B50" s="8">
        <v>45028</v>
      </c>
      <c r="C50" t="s">
        <v>7</v>
      </c>
      <c r="D50" t="s">
        <v>31</v>
      </c>
    </row>
    <row r="51" spans="1:4" x14ac:dyDescent="0.4">
      <c r="A51" s="9">
        <v>45027.875</v>
      </c>
      <c r="B51" s="8">
        <v>45028</v>
      </c>
      <c r="C51" t="s">
        <v>20</v>
      </c>
      <c r="D51" t="s">
        <v>65</v>
      </c>
    </row>
    <row r="52" spans="1:4" x14ac:dyDescent="0.4">
      <c r="A52" s="9">
        <v>45027.958333333336</v>
      </c>
      <c r="B52" s="8">
        <v>45026</v>
      </c>
      <c r="C52" t="s">
        <v>1</v>
      </c>
      <c r="D52" t="s">
        <v>41</v>
      </c>
    </row>
    <row r="53" spans="1:4" x14ac:dyDescent="0.4">
      <c r="A53" s="9">
        <v>45027.958333333336</v>
      </c>
      <c r="B53" s="8">
        <v>45027</v>
      </c>
      <c r="C53" t="s">
        <v>6</v>
      </c>
      <c r="D53" t="s">
        <v>24</v>
      </c>
    </row>
    <row r="54" spans="1:4" x14ac:dyDescent="0.4">
      <c r="A54" s="9">
        <v>45027.958333333336</v>
      </c>
      <c r="B54" s="8">
        <v>45027</v>
      </c>
      <c r="C54" t="s">
        <v>19</v>
      </c>
      <c r="D54" t="s">
        <v>24</v>
      </c>
    </row>
    <row r="55" spans="1:4" x14ac:dyDescent="0.4">
      <c r="A55" s="9">
        <v>45028.166666666664</v>
      </c>
      <c r="B55" s="8">
        <v>45026</v>
      </c>
      <c r="C55" t="s">
        <v>12</v>
      </c>
      <c r="D55" t="s">
        <v>43</v>
      </c>
    </row>
    <row r="56" spans="1:4" x14ac:dyDescent="0.4">
      <c r="A56" s="9">
        <v>45028.208333333336</v>
      </c>
      <c r="B56" s="8">
        <v>45028</v>
      </c>
      <c r="C56" t="s">
        <v>13</v>
      </c>
      <c r="D56" t="s">
        <v>57</v>
      </c>
    </row>
    <row r="57" spans="1:4" x14ac:dyDescent="0.4">
      <c r="A57" s="9">
        <v>45028.333333333336</v>
      </c>
      <c r="B57" s="8">
        <v>45028</v>
      </c>
      <c r="C57" t="s">
        <v>3</v>
      </c>
      <c r="D57" t="s">
        <v>22</v>
      </c>
    </row>
    <row r="58" spans="1:4" x14ac:dyDescent="0.4">
      <c r="A58" s="9">
        <v>45028.583333333336</v>
      </c>
      <c r="B58" s="8">
        <v>45029</v>
      </c>
      <c r="C58" t="s">
        <v>20</v>
      </c>
      <c r="D58" t="s">
        <v>66</v>
      </c>
    </row>
    <row r="59" spans="1:4" x14ac:dyDescent="0.4">
      <c r="A59" s="9">
        <v>45028.625</v>
      </c>
      <c r="B59" s="8">
        <v>45029</v>
      </c>
      <c r="C59" t="s">
        <v>7</v>
      </c>
      <c r="D59" t="s">
        <v>32</v>
      </c>
    </row>
    <row r="60" spans="1:4" x14ac:dyDescent="0.4">
      <c r="A60" s="8">
        <v>45030</v>
      </c>
      <c r="B60" s="8">
        <v>45028</v>
      </c>
      <c r="C60" t="s">
        <v>12</v>
      </c>
      <c r="D60" t="s">
        <v>44</v>
      </c>
    </row>
    <row r="61" spans="1:4" x14ac:dyDescent="0.4">
      <c r="A61" s="9">
        <v>45030.416666666664</v>
      </c>
      <c r="B61" s="8">
        <v>45028</v>
      </c>
      <c r="C61" t="s">
        <v>1</v>
      </c>
      <c r="D61" t="s">
        <v>73</v>
      </c>
    </row>
    <row r="62" spans="1:4" x14ac:dyDescent="0.4">
      <c r="A62" s="9">
        <v>45030.416666666664</v>
      </c>
      <c r="B62" s="8">
        <v>45031</v>
      </c>
      <c r="C62" t="s">
        <v>19</v>
      </c>
      <c r="D62" t="s">
        <v>60</v>
      </c>
    </row>
    <row r="63" spans="1:4" x14ac:dyDescent="0.4">
      <c r="A63" s="9">
        <v>45030.541666666664</v>
      </c>
      <c r="B63" s="8">
        <v>45030</v>
      </c>
      <c r="C63" t="s">
        <v>3</v>
      </c>
      <c r="D63" t="s">
        <v>21</v>
      </c>
    </row>
    <row r="64" spans="1:4" x14ac:dyDescent="0.4">
      <c r="A64" s="9">
        <v>45030.666666666664</v>
      </c>
      <c r="B64" s="8">
        <v>45030</v>
      </c>
      <c r="C64" t="s">
        <v>13</v>
      </c>
      <c r="D64" t="s">
        <v>54</v>
      </c>
    </row>
    <row r="65" spans="1:4" x14ac:dyDescent="0.4">
      <c r="A65" s="9">
        <v>45030.75</v>
      </c>
      <c r="B65" s="8">
        <v>45032</v>
      </c>
      <c r="C65" t="s">
        <v>19</v>
      </c>
      <c r="D65" t="s">
        <v>61</v>
      </c>
    </row>
    <row r="66" spans="1:4" x14ac:dyDescent="0.4">
      <c r="A66" s="9">
        <v>45031.458333333336</v>
      </c>
      <c r="B66" s="8">
        <v>45029</v>
      </c>
      <c r="C66" t="s">
        <v>12</v>
      </c>
      <c r="D66" t="s">
        <v>45</v>
      </c>
    </row>
    <row r="67" spans="1:4" x14ac:dyDescent="0.4">
      <c r="A67" s="9">
        <v>45031.875</v>
      </c>
      <c r="B67" s="8">
        <v>45029</v>
      </c>
      <c r="C67" t="s">
        <v>1</v>
      </c>
      <c r="D67" t="s">
        <v>74</v>
      </c>
    </row>
    <row r="68" spans="1:4" x14ac:dyDescent="0.4">
      <c r="A68" s="9">
        <v>45032.041666666664</v>
      </c>
      <c r="B68" s="8">
        <v>45032</v>
      </c>
      <c r="C68" t="s">
        <v>13</v>
      </c>
      <c r="D68" t="s">
        <v>55</v>
      </c>
    </row>
    <row r="69" spans="1:4" x14ac:dyDescent="0.4">
      <c r="A69" s="9">
        <v>45032.125</v>
      </c>
      <c r="B69" s="8">
        <v>45032</v>
      </c>
      <c r="C69" t="s">
        <v>7</v>
      </c>
      <c r="D69" t="s">
        <v>29</v>
      </c>
    </row>
    <row r="70" spans="1:4" x14ac:dyDescent="0.4">
      <c r="A70" s="9">
        <v>45032.125</v>
      </c>
      <c r="B70" s="8">
        <v>45032</v>
      </c>
      <c r="C70" t="s">
        <v>20</v>
      </c>
      <c r="D70" t="s">
        <v>29</v>
      </c>
    </row>
    <row r="71" spans="1:4" x14ac:dyDescent="0.4">
      <c r="A71" s="9">
        <v>45032.166666666664</v>
      </c>
      <c r="B71" s="8">
        <v>45031</v>
      </c>
      <c r="C71" t="s">
        <v>6</v>
      </c>
      <c r="D71" t="s">
        <v>25</v>
      </c>
    </row>
    <row r="72" spans="1:4" x14ac:dyDescent="0.4">
      <c r="A72" s="9">
        <v>45032.333333333336</v>
      </c>
      <c r="B72" s="8">
        <v>45032</v>
      </c>
      <c r="C72" t="s">
        <v>3</v>
      </c>
      <c r="D72" t="s">
        <v>22</v>
      </c>
    </row>
    <row r="73" spans="1:4" x14ac:dyDescent="0.4">
      <c r="A73" s="9">
        <v>45032.916666666664</v>
      </c>
      <c r="B73" s="8">
        <v>45030</v>
      </c>
      <c r="C73" t="s">
        <v>12</v>
      </c>
      <c r="D73" t="s">
        <v>46</v>
      </c>
    </row>
    <row r="74" spans="1:4" x14ac:dyDescent="0.4">
      <c r="A74" s="9">
        <v>45033.333333333336</v>
      </c>
      <c r="B74" s="8">
        <v>45030</v>
      </c>
      <c r="C74" t="s">
        <v>1</v>
      </c>
      <c r="D74" t="s">
        <v>75</v>
      </c>
    </row>
    <row r="75" spans="1:4" x14ac:dyDescent="0.4">
      <c r="A75" s="9">
        <v>45033.375</v>
      </c>
      <c r="B75" s="8">
        <v>45032</v>
      </c>
      <c r="C75" t="s">
        <v>6</v>
      </c>
      <c r="D75" t="s">
        <v>26</v>
      </c>
    </row>
    <row r="76" spans="1:4" x14ac:dyDescent="0.4">
      <c r="A76" s="9">
        <v>45033.5</v>
      </c>
      <c r="B76" s="8">
        <v>45033</v>
      </c>
      <c r="C76" t="s">
        <v>13</v>
      </c>
      <c r="D76" t="s">
        <v>38</v>
      </c>
    </row>
    <row r="77" spans="1:4" x14ac:dyDescent="0.4">
      <c r="A77" s="9">
        <v>45033.541666666664</v>
      </c>
      <c r="B77" s="8">
        <v>45033</v>
      </c>
      <c r="C77" t="s">
        <v>3</v>
      </c>
      <c r="D77" t="s">
        <v>21</v>
      </c>
    </row>
    <row r="78" spans="1:4" x14ac:dyDescent="0.4">
      <c r="A78" s="9">
        <v>45034.333333333336</v>
      </c>
      <c r="B78" s="8">
        <v>45035</v>
      </c>
      <c r="C78" t="s">
        <v>7</v>
      </c>
      <c r="D78" t="s">
        <v>33</v>
      </c>
    </row>
    <row r="79" spans="1:4" x14ac:dyDescent="0.4">
      <c r="A79" s="9">
        <v>45034.333333333336</v>
      </c>
      <c r="B79" s="8">
        <v>45031</v>
      </c>
      <c r="C79" t="s">
        <v>12</v>
      </c>
      <c r="D79" t="s">
        <v>47</v>
      </c>
    </row>
    <row r="80" spans="1:4" x14ac:dyDescent="0.4">
      <c r="A80" s="9">
        <v>45034.333333333336</v>
      </c>
      <c r="B80" s="8">
        <v>45035</v>
      </c>
      <c r="C80" t="s">
        <v>20</v>
      </c>
      <c r="D80" t="s">
        <v>67</v>
      </c>
    </row>
    <row r="81" spans="1:4" x14ac:dyDescent="0.4">
      <c r="A81" s="9">
        <v>45034.833333333336</v>
      </c>
      <c r="B81" s="8">
        <v>45031</v>
      </c>
      <c r="C81" t="s">
        <v>1</v>
      </c>
      <c r="D81" t="s">
        <v>76</v>
      </c>
    </row>
    <row r="82" spans="1:4" x14ac:dyDescent="0.4">
      <c r="A82" s="9">
        <v>45035.041666666664</v>
      </c>
      <c r="B82" s="8">
        <v>45036</v>
      </c>
      <c r="C82" t="s">
        <v>20</v>
      </c>
      <c r="D82" t="s">
        <v>68</v>
      </c>
    </row>
    <row r="83" spans="1:4" x14ac:dyDescent="0.4">
      <c r="A83" s="9">
        <v>45035.083333333336</v>
      </c>
      <c r="B83" s="8">
        <v>45036</v>
      </c>
      <c r="C83" t="s">
        <v>7</v>
      </c>
      <c r="D83" t="s">
        <v>34</v>
      </c>
    </row>
    <row r="84" spans="1:4" x14ac:dyDescent="0.4">
      <c r="A84" s="9">
        <v>45035.166666666664</v>
      </c>
      <c r="B84" s="8">
        <v>45034</v>
      </c>
      <c r="C84" t="s">
        <v>6</v>
      </c>
      <c r="D84" t="s">
        <v>25</v>
      </c>
    </row>
    <row r="85" spans="1:4" x14ac:dyDescent="0.4">
      <c r="A85" s="9">
        <v>45035.166666666664</v>
      </c>
      <c r="B85" s="8">
        <v>45035</v>
      </c>
      <c r="C85" t="s">
        <v>13</v>
      </c>
      <c r="D85" t="s">
        <v>58</v>
      </c>
    </row>
    <row r="86" spans="1:4" x14ac:dyDescent="0.4">
      <c r="A86" s="9">
        <v>45035.166666666664</v>
      </c>
      <c r="B86" s="8">
        <v>45034</v>
      </c>
      <c r="C86" t="s">
        <v>19</v>
      </c>
      <c r="D86" t="s">
        <v>25</v>
      </c>
    </row>
    <row r="87" spans="1:4" x14ac:dyDescent="0.4">
      <c r="A87" s="9">
        <v>45035.333333333336</v>
      </c>
      <c r="B87" s="8">
        <v>45035</v>
      </c>
      <c r="C87" t="s">
        <v>3</v>
      </c>
      <c r="D87" t="s">
        <v>22</v>
      </c>
    </row>
    <row r="88" spans="1:4" x14ac:dyDescent="0.4">
      <c r="A88" s="9">
        <v>45035.5</v>
      </c>
      <c r="B88" s="8">
        <v>45033</v>
      </c>
      <c r="C88" t="s">
        <v>1</v>
      </c>
      <c r="D88" t="s">
        <v>77</v>
      </c>
    </row>
    <row r="89" spans="1:4" x14ac:dyDescent="0.4">
      <c r="A89" s="9">
        <v>45035.791666666664</v>
      </c>
      <c r="B89" s="8">
        <v>45037</v>
      </c>
      <c r="C89" t="s">
        <v>7</v>
      </c>
      <c r="D89" t="s">
        <v>35</v>
      </c>
    </row>
    <row r="90" spans="1:4" x14ac:dyDescent="0.4">
      <c r="A90" s="9">
        <v>45035.791666666664</v>
      </c>
      <c r="B90" s="8">
        <v>45033</v>
      </c>
      <c r="C90" t="s">
        <v>12</v>
      </c>
      <c r="D90" t="s">
        <v>48</v>
      </c>
    </row>
    <row r="91" spans="1:4" x14ac:dyDescent="0.4">
      <c r="A91" s="9">
        <v>45035.791666666664</v>
      </c>
      <c r="B91" s="8">
        <v>45037</v>
      </c>
      <c r="C91" t="s">
        <v>20</v>
      </c>
      <c r="D91" t="s">
        <v>69</v>
      </c>
    </row>
    <row r="92" spans="1:4" x14ac:dyDescent="0.4">
      <c r="A92" s="9">
        <v>45036.125</v>
      </c>
      <c r="B92" s="8">
        <v>45036</v>
      </c>
      <c r="C92" t="s">
        <v>13</v>
      </c>
      <c r="D92" t="s">
        <v>29</v>
      </c>
    </row>
    <row r="93" spans="1:4" x14ac:dyDescent="0.4">
      <c r="A93" s="9">
        <v>45036.333333333336</v>
      </c>
      <c r="B93" s="8">
        <v>45036</v>
      </c>
      <c r="C93" t="s">
        <v>3</v>
      </c>
      <c r="D93" t="s">
        <v>22</v>
      </c>
    </row>
    <row r="94" spans="1:4" x14ac:dyDescent="0.4">
      <c r="A94" s="9">
        <v>45036.375</v>
      </c>
      <c r="B94" s="8">
        <v>45035</v>
      </c>
      <c r="C94" t="s">
        <v>6</v>
      </c>
      <c r="D94" t="s">
        <v>26</v>
      </c>
    </row>
    <row r="95" spans="1:4" x14ac:dyDescent="0.4">
      <c r="A95" s="9">
        <v>45036.375</v>
      </c>
      <c r="B95" s="8">
        <v>45035</v>
      </c>
      <c r="C95" t="s">
        <v>19</v>
      </c>
      <c r="D95" t="s">
        <v>26</v>
      </c>
    </row>
    <row r="96" spans="1:4" x14ac:dyDescent="0.4">
      <c r="A96" s="9">
        <v>45037.041666666664</v>
      </c>
      <c r="B96" s="8">
        <v>45034</v>
      </c>
      <c r="C96" t="s">
        <v>1</v>
      </c>
      <c r="D96" t="s">
        <v>78</v>
      </c>
    </row>
    <row r="97" spans="1:4" x14ac:dyDescent="0.4">
      <c r="A97" s="9">
        <v>45037.083333333336</v>
      </c>
      <c r="B97" s="8">
        <v>45039</v>
      </c>
      <c r="C97" t="s">
        <v>19</v>
      </c>
      <c r="D97" t="s">
        <v>62</v>
      </c>
    </row>
    <row r="98" spans="1:4" x14ac:dyDescent="0.4">
      <c r="A98" s="9">
        <v>45037.416666666664</v>
      </c>
      <c r="B98" s="8">
        <v>45034</v>
      </c>
      <c r="C98" t="s">
        <v>12</v>
      </c>
      <c r="D98" t="s">
        <v>49</v>
      </c>
    </row>
    <row r="99" spans="1:4" x14ac:dyDescent="0.4">
      <c r="A99" s="9">
        <v>45038.541666666664</v>
      </c>
      <c r="B99" s="8">
        <v>45038</v>
      </c>
      <c r="C99" t="s">
        <v>3</v>
      </c>
      <c r="D99" t="s">
        <v>21</v>
      </c>
    </row>
    <row r="100" spans="1:4" x14ac:dyDescent="0.4">
      <c r="A100" s="9">
        <v>45038.666666666664</v>
      </c>
      <c r="B100" s="8">
        <v>45038</v>
      </c>
      <c r="C100" t="s">
        <v>13</v>
      </c>
      <c r="D100" t="s">
        <v>54</v>
      </c>
    </row>
    <row r="101" spans="1:4" x14ac:dyDescent="0.4">
      <c r="A101" s="9">
        <v>45039.791666666664</v>
      </c>
      <c r="B101" s="8">
        <v>45036</v>
      </c>
      <c r="C101" t="s">
        <v>12</v>
      </c>
      <c r="D101" t="s">
        <v>50</v>
      </c>
    </row>
    <row r="102" spans="1:4" x14ac:dyDescent="0.4">
      <c r="A102" s="9">
        <v>45040.333333333336</v>
      </c>
      <c r="B102" s="8">
        <v>45036</v>
      </c>
      <c r="C102" t="s">
        <v>1</v>
      </c>
      <c r="D102" t="s">
        <v>79</v>
      </c>
    </row>
    <row r="103" spans="1:4" x14ac:dyDescent="0.4">
      <c r="A103" s="9">
        <v>45040.583333333336</v>
      </c>
      <c r="B103" s="8">
        <v>45039</v>
      </c>
      <c r="C103" t="s">
        <v>6</v>
      </c>
      <c r="D103" t="s">
        <v>27</v>
      </c>
    </row>
    <row r="104" spans="1:4" x14ac:dyDescent="0.4">
      <c r="A104" s="9">
        <v>45041.25</v>
      </c>
      <c r="B104" s="8">
        <v>45037</v>
      </c>
      <c r="C104" t="s">
        <v>12</v>
      </c>
      <c r="D104" t="s">
        <v>51</v>
      </c>
    </row>
    <row r="105" spans="1:4" x14ac:dyDescent="0.4">
      <c r="A105" s="9">
        <v>45041.791666666664</v>
      </c>
      <c r="B105" s="8">
        <v>45037</v>
      </c>
      <c r="C105" t="s">
        <v>1</v>
      </c>
      <c r="D105" t="s">
        <v>80</v>
      </c>
    </row>
    <row r="106" spans="1:4" x14ac:dyDescent="0.4">
      <c r="A106" s="9">
        <v>45042.666666666664</v>
      </c>
      <c r="B106" s="8">
        <v>45038</v>
      </c>
      <c r="C106" t="s">
        <v>12</v>
      </c>
      <c r="D106" t="s">
        <v>52</v>
      </c>
    </row>
    <row r="107" spans="1:4" x14ac:dyDescent="0.4">
      <c r="A107" s="9">
        <v>45043.25</v>
      </c>
      <c r="B107" s="8">
        <v>45038</v>
      </c>
      <c r="C107" t="s">
        <v>1</v>
      </c>
      <c r="D107" t="s">
        <v>81</v>
      </c>
    </row>
    <row r="108" spans="1:4" x14ac:dyDescent="0.4">
      <c r="A108" s="9">
        <v>45044.125</v>
      </c>
      <c r="B108" s="8">
        <v>45039</v>
      </c>
      <c r="C108" t="s">
        <v>12</v>
      </c>
      <c r="D108" t="s">
        <v>53</v>
      </c>
    </row>
    <row r="109" spans="1:4" x14ac:dyDescent="0.4">
      <c r="A109" s="9">
        <v>45044.75</v>
      </c>
      <c r="B109" s="8">
        <v>45039</v>
      </c>
      <c r="C109" t="s">
        <v>1</v>
      </c>
      <c r="D109" t="s">
        <v>82</v>
      </c>
    </row>
  </sheetData>
  <sortState xmlns:xlrd2="http://schemas.microsoft.com/office/spreadsheetml/2017/richdata2" ref="A2:D109">
    <sortCondition ref="A2"/>
  </sortState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1A1E87-0BB4-4C08-A6E8-1662C2E75E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設定</vt:lpstr>
      <vt:lpstr>シフト表</vt:lpstr>
      <vt:lpstr>シフト表toデータ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ki</dc:creator>
  <cp:lastModifiedBy>ti ki</cp:lastModifiedBy>
  <dcterms:created xsi:type="dcterms:W3CDTF">2023-04-07T06:48:33Z</dcterms:created>
  <dcterms:modified xsi:type="dcterms:W3CDTF">2023-04-11T11:47:35Z</dcterms:modified>
</cp:coreProperties>
</file>